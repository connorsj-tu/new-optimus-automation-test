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xr:revisionPtr revIDLastSave="0" documentId="13_ncr:1_{3CFBD935-D82B-433F-A288-F25BEE4F2473}" xr6:coauthVersionLast="43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imesheet" sheetId="8" r:id="rId1"/>
  </sheets>
  <definedNames>
    <definedName name="_xlnm.Print_Area" localSheetId="0">Timesheet!$B$2:$I$64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C15" i="8" l="1"/>
  <c r="B16" i="8"/>
  <c r="B17" i="8" l="1"/>
  <c r="C16" i="8"/>
  <c r="C17" i="8" l="1"/>
  <c r="B18" i="8"/>
  <c r="B19" i="8" l="1"/>
  <c r="C18" i="8"/>
  <c r="C19" i="8" l="1"/>
  <c r="B20" i="8"/>
  <c r="B21" i="8" l="1"/>
  <c r="C20" i="8"/>
  <c r="C21" i="8" l="1"/>
  <c r="B22" i="8"/>
  <c r="B23" i="8" l="1"/>
  <c r="C22" i="8"/>
  <c r="C23" i="8" l="1"/>
  <c r="B24" i="8"/>
  <c r="B25" i="8" l="1"/>
  <c r="C24" i="8"/>
  <c r="C25" i="8" l="1"/>
  <c r="B26" i="8"/>
  <c r="B27" i="8" l="1"/>
  <c r="C26" i="8"/>
  <c r="B28" i="8" l="1"/>
  <c r="C27" i="8"/>
  <c r="C28" i="8" l="1"/>
  <c r="B29" i="8"/>
  <c r="C29" i="8" l="1"/>
  <c r="B30" i="8"/>
  <c r="C30" i="8" l="1"/>
  <c r="B31" i="8"/>
  <c r="B32" i="8" l="1"/>
  <c r="C31" i="8"/>
  <c r="B33" i="8" l="1"/>
  <c r="C32" i="8"/>
  <c r="C33" i="8" l="1"/>
  <c r="B34" i="8"/>
  <c r="C34" i="8" l="1"/>
  <c r="B35" i="8"/>
  <c r="B36" i="8" l="1"/>
  <c r="C35" i="8"/>
  <c r="B37" i="8" l="1"/>
  <c r="C36" i="8"/>
  <c r="C37" i="8" l="1"/>
  <c r="B38" i="8"/>
  <c r="B39" i="8" l="1"/>
  <c r="C38" i="8"/>
  <c r="B40" i="8" l="1"/>
  <c r="C39" i="8"/>
  <c r="C40" i="8" l="1"/>
  <c r="B41" i="8"/>
  <c r="C41" i="8" l="1"/>
  <c r="B42" i="8"/>
  <c r="B43" i="8" l="1"/>
  <c r="C42" i="8"/>
  <c r="B44" i="8" l="1"/>
  <c r="C43" i="8"/>
  <c r="B45" i="8" l="1"/>
  <c r="C45" i="8" s="1"/>
  <c r="C44" i="8"/>
</calcChain>
</file>

<file path=xl/sharedStrings.xml><?xml version="1.0" encoding="utf-8"?>
<sst xmlns="http://schemas.openxmlformats.org/spreadsheetml/2006/main" count="65" uniqueCount="44">
  <si>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</si>
  <si>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</si>
  <si>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</si>
  <si>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</si>
  <si>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</si>
  <si>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</si>
  <si>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</si>
  <si>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</si>
  <si>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</si>
  <si>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</si>
  <si>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</si>
  <si>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</si>
  <si>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</si>
  <si>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</si>
  <si>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</si>
  <si>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</si>
  <si>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</si>
  <si>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</si>
  <si>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</si>
  <si>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</si>
  <si>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</si>
  <si>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</si>
  <si>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</si>
  <si>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</si>
  <si>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</si>
  <si>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</si>
  <si>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</si>
  <si>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</si>
  <si>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</si>
  <si>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</si>
  <si>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</si>
  <si>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</si>
  <si>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</si>
  <si>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</si>
  <si>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</si>
  <si>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</si>
  <si>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</si>
  <si>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purchase.ledger@ir77.co.uk</t>
  </si>
  <si>
    <t>James Connors</t>
  </si>
  <si>
    <t>ICC-19-0016</t>
  </si>
  <si>
    <t>Test Engineer - Optimus/Noddle</t>
  </si>
  <si>
    <t>TransUnion</t>
  </si>
  <si>
    <t>Matt Tordoff</t>
  </si>
  <si>
    <t>Head of Technology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</si>
</sst>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3" xfId="0" applyNumberFormat="1" applyFont="1" applyFill="1" applyBorder="1" applyAlignment="1">
      <alignment horizontal="right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3" borderId="26" xfId="0" applyFont="1" applyFill="1" applyBorder="1" applyAlignment="1" applyProtection="1">
      <alignment horizontal="left" vertical="center"/>
      <protection locked="0"/>
    </xf>
    <xf numFmtId="0" fontId="5" fillId="3" borderId="27" xfId="0" applyFont="1" applyFill="1" applyBorder="1" applyAlignment="1" applyProtection="1">
      <alignment horizontal="left" vertical="center"/>
      <protection locked="0"/>
    </xf>
    <xf numFmtId="0" fontId="5" fillId="3" borderId="28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166" fontId="1" fillId="3" borderId="16" xfId="0" applyNumberFormat="1" applyFont="1" applyFill="1" applyBorder="1" applyAlignment="1">
      <alignment horizontal="right"/>
    </xf>
    <xf numFmtId="0" fontId="1" fillId="3" borderId="17" xfId="0" applyFont="1" applyFill="1" applyBorder="1" applyAlignment="1"/>
    <xf numFmtId="165" fontId="5" fillId="3" borderId="17" xfId="0" applyNumberFormat="1" applyFont="1" applyFill="1" applyBorder="1" applyAlignment="1" applyProtection="1">
      <alignment horizontal="center" vertical="center"/>
      <protection locked="0"/>
    </xf>
    <xf numFmtId="164" fontId="5" fillId="3" borderId="16" xfId="0" applyNumberFormat="1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EH3551"/>
  <sheetViews>
    <sheetView showGridLines="0" tabSelected="1" topLeftCell="A10" zoomScale="85" zoomScaleNormal="85" workbookViewId="0">
      <selection activeCell="D54" sqref="D54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36</v>
      </c>
      <c r="C2" s="2"/>
      <c r="D2" s="2"/>
      <c r="E2" s="2"/>
      <c r="F2" s="2"/>
      <c r="G2" s="2"/>
      <c r="I2" s="23"/>
    </row>
    <row r="3" spans="1:16" ht="18.75" x14ac:dyDescent="0.3">
      <c r="B3" s="2"/>
      <c r="C3" s="2"/>
      <c r="D3" s="2"/>
      <c r="E3" s="2"/>
      <c r="F3" s="2"/>
      <c r="G3" s="2"/>
      <c r="I3" s="23"/>
    </row>
    <row r="4" spans="1:16" ht="18.75" x14ac:dyDescent="0.3">
      <c r="B4" s="2"/>
      <c r="C4" s="2"/>
      <c r="D4" s="2"/>
      <c r="E4" s="2"/>
      <c r="F4" s="2"/>
      <c r="G4" s="2"/>
      <c r="I4" s="23"/>
    </row>
    <row r="5" spans="1:16" ht="18.75" x14ac:dyDescent="0.3">
      <c r="B5" s="2"/>
      <c r="C5" s="2"/>
      <c r="D5" s="2"/>
      <c r="E5" s="2"/>
      <c r="F5" s="2"/>
      <c r="G5" s="2"/>
      <c r="I5" s="23"/>
      <c r="N5" s="18">
        <v>2017</v>
      </c>
      <c r="P5" s="18" t="s">
        <v>24</v>
      </c>
    </row>
    <row r="6" spans="1:16" ht="15.75" thickBot="1" x14ac:dyDescent="0.3">
      <c r="N6" s="18">
        <v>2018</v>
      </c>
      <c r="P6" s="18" t="s">
        <v>25</v>
      </c>
    </row>
    <row r="7" spans="1:16" ht="15.75" thickBot="1" x14ac:dyDescent="0.3">
      <c r="B7" s="63" t="s">
        <v>0</v>
      </c>
      <c r="C7" s="64"/>
      <c r="D7" s="64"/>
      <c r="E7" s="64"/>
      <c r="F7" s="64"/>
      <c r="G7" s="64"/>
      <c r="H7" s="64"/>
      <c r="I7" s="65"/>
      <c r="N7" s="18">
        <v>2019</v>
      </c>
      <c r="P7" s="18" t="s">
        <v>26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27</v>
      </c>
    </row>
    <row r="9" spans="1:16" ht="22.9" customHeight="1" x14ac:dyDescent="0.25">
      <c r="B9" s="24" t="s">
        <v>2</v>
      </c>
      <c r="C9" s="66" t="s">
        <v>38</v>
      </c>
      <c r="D9" s="66"/>
      <c r="E9" s="66"/>
      <c r="F9" s="3"/>
      <c r="G9" s="3"/>
      <c r="H9" s="24" t="s">
        <v>3</v>
      </c>
      <c r="I9" s="25" t="s">
        <v>39</v>
      </c>
      <c r="L9" s="19"/>
      <c r="N9" s="18">
        <v>2021</v>
      </c>
      <c r="P9" s="18" t="s">
        <v>28</v>
      </c>
    </row>
    <row r="10" spans="1:16" ht="22.9" customHeight="1" x14ac:dyDescent="0.25">
      <c r="B10" s="24" t="s">
        <v>1</v>
      </c>
      <c r="C10" s="67" t="s">
        <v>41</v>
      </c>
      <c r="D10" s="67"/>
      <c r="E10" s="67"/>
      <c r="F10" s="3"/>
      <c r="G10" s="3"/>
      <c r="H10" s="24" t="s">
        <v>15</v>
      </c>
      <c r="I10" s="25">
        <v>2019</v>
      </c>
      <c r="N10" s="18">
        <v>2022</v>
      </c>
      <c r="P10" s="18" t="s">
        <v>29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16</v>
      </c>
      <c r="I11" s="26" t="s">
        <v>34</v>
      </c>
      <c r="J11" s="8"/>
      <c r="N11" s="18">
        <v>2023</v>
      </c>
      <c r="P11" s="18" t="s">
        <v>30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31</v>
      </c>
    </row>
    <row r="13" spans="1:16" ht="15.75" thickBot="1" x14ac:dyDescent="0.3">
      <c r="B13" s="3"/>
      <c r="C13" s="3"/>
      <c r="D13" s="68" t="s">
        <v>20</v>
      </c>
      <c r="E13" s="69"/>
      <c r="F13" s="11" t="s">
        <v>14</v>
      </c>
      <c r="G13" s="70" t="s">
        <v>23</v>
      </c>
      <c r="H13" s="70"/>
      <c r="I13" s="69"/>
      <c r="N13" s="18">
        <v>2025</v>
      </c>
      <c r="P13" s="18" t="s">
        <v>32</v>
      </c>
    </row>
    <row r="14" spans="1:16" ht="15" customHeight="1" thickBot="1" x14ac:dyDescent="0.3">
      <c r="B14" s="14" t="s">
        <v>4</v>
      </c>
      <c r="C14" s="15" t="s">
        <v>17</v>
      </c>
      <c r="D14" s="12" t="s">
        <v>18</v>
      </c>
      <c r="E14" s="13" t="s">
        <v>19</v>
      </c>
      <c r="F14" s="12" t="s">
        <v>21</v>
      </c>
      <c r="G14" s="71"/>
      <c r="H14" s="71"/>
      <c r="I14" s="72"/>
      <c r="J14" s="9"/>
      <c r="K14" s="20"/>
      <c r="N14" s="18">
        <v>2026</v>
      </c>
      <c r="P14" s="18" t="s">
        <v>33</v>
      </c>
    </row>
    <row r="15" spans="1:16" x14ac:dyDescent="0.25">
      <c r="B15" s="38">
        <f>N20+1</f>
        <v>43770</v>
      </c>
      <c r="C15" s="33" t="str">
        <f t="shared" ref="C15:C45" si="0">TEXT(B15,"ddd")</f>
        <v>Fri</v>
      </c>
      <c r="D15" s="34">
        <v>1</v>
      </c>
      <c r="E15" s="39"/>
      <c r="F15" s="40"/>
      <c r="G15" s="41" t="s">
        <v>40</v>
      </c>
      <c r="H15" s="42"/>
      <c r="I15" s="43"/>
      <c r="N15" s="18">
        <v>2027</v>
      </c>
      <c r="P15" s="18" t="s">
        <v>34</v>
      </c>
    </row>
    <row r="16" spans="1:16" x14ac:dyDescent="0.25">
      <c r="B16" s="27">
        <f>B15+1</f>
        <v>43771</v>
      </c>
      <c r="C16" s="28" t="str">
        <f t="shared" si="0"/>
        <v>Sat</v>
      </c>
      <c r="D16" s="29"/>
      <c r="E16" s="30"/>
      <c r="F16" s="31"/>
      <c r="G16" s="60"/>
      <c r="H16" s="61"/>
      <c r="I16" s="62"/>
      <c r="N16" s="18">
        <v>2028</v>
      </c>
      <c r="P16" s="18" t="s">
        <v>35</v>
      </c>
    </row>
    <row r="17" spans="2:14" x14ac:dyDescent="0.25">
      <c r="B17" s="27">
        <f t="shared" ref="B17:B45" si="1">B16+1</f>
        <v>43772</v>
      </c>
      <c r="C17" s="28" t="str">
        <f t="shared" si="0"/>
        <v>Sun</v>
      </c>
      <c r="D17" s="29"/>
      <c r="E17" s="30"/>
      <c r="F17" s="31"/>
      <c r="G17" s="60"/>
      <c r="H17" s="61"/>
      <c r="I17" s="62"/>
    </row>
    <row r="18" spans="2:14" x14ac:dyDescent="0.25">
      <c r="B18" s="32">
        <f t="shared" si="1"/>
        <v>43773</v>
      </c>
      <c r="C18" s="33" t="str">
        <f t="shared" si="0"/>
        <v>Mon</v>
      </c>
      <c r="D18" s="34">
        <v>1</v>
      </c>
      <c r="E18" s="35"/>
      <c r="F18" s="36"/>
      <c r="G18" s="41" t="s">
        <v>40</v>
      </c>
      <c r="H18" s="42"/>
      <c r="I18" s="43"/>
    </row>
    <row r="19" spans="2:14" x14ac:dyDescent="0.25">
      <c r="B19" s="32">
        <f t="shared" si="1"/>
        <v>43774</v>
      </c>
      <c r="C19" s="33" t="str">
        <f t="shared" si="0"/>
        <v>Tue</v>
      </c>
      <c r="D19" s="34">
        <v>1</v>
      </c>
      <c r="E19" s="35"/>
      <c r="F19" s="36"/>
      <c r="G19" s="41" t="s">
        <v>40</v>
      </c>
      <c r="H19" s="42"/>
      <c r="I19" s="43"/>
      <c r="N19" s="21" t="str">
        <f>"01"&amp;"/"&amp;I11&amp;"/"&amp;I10</f>
        <v>01/Nov/2019</v>
      </c>
    </row>
    <row r="20" spans="2:14" x14ac:dyDescent="0.25">
      <c r="B20" s="32">
        <f t="shared" si="1"/>
        <v>43775</v>
      </c>
      <c r="C20" s="33" t="str">
        <f t="shared" si="0"/>
        <v>Wed</v>
      </c>
      <c r="D20" s="34">
        <v>1</v>
      </c>
      <c r="E20" s="35"/>
      <c r="F20" s="36"/>
      <c r="G20" s="41" t="s">
        <v>40</v>
      </c>
      <c r="H20" s="42"/>
      <c r="I20" s="43"/>
      <c r="N20" s="21">
        <f>N19-1</f>
        <v>43769</v>
      </c>
    </row>
    <row r="21" spans="2:14" x14ac:dyDescent="0.25">
      <c r="B21" s="32">
        <f t="shared" si="1"/>
        <v>43776</v>
      </c>
      <c r="C21" s="33" t="str">
        <f t="shared" si="0"/>
        <v>Thu</v>
      </c>
      <c r="D21" s="34">
        <v>1</v>
      </c>
      <c r="E21" s="35"/>
      <c r="F21" s="36"/>
      <c r="G21" s="41" t="s">
        <v>40</v>
      </c>
      <c r="H21" s="42"/>
      <c r="I21" s="43"/>
      <c r="N21" s="37">
        <v>11</v>
      </c>
    </row>
    <row r="22" spans="2:14" x14ac:dyDescent="0.25">
      <c r="B22" s="32">
        <f t="shared" si="1"/>
        <v>43777</v>
      </c>
      <c r="C22" s="33" t="str">
        <f t="shared" si="0"/>
        <v>Fri</v>
      </c>
      <c r="D22" s="34">
        <v>1</v>
      </c>
      <c r="E22" s="35"/>
      <c r="F22" s="36"/>
      <c r="G22" s="41" t="s">
        <v>40</v>
      </c>
      <c r="H22" s="42"/>
      <c r="I22" s="43"/>
    </row>
    <row r="23" spans="2:14" x14ac:dyDescent="0.25">
      <c r="B23" s="27">
        <f t="shared" si="1"/>
        <v>43778</v>
      </c>
      <c r="C23" s="28" t="str">
        <f t="shared" si="0"/>
        <v>Sat</v>
      </c>
      <c r="D23" s="29"/>
      <c r="E23" s="30"/>
      <c r="F23" s="31"/>
      <c r="G23" s="60"/>
      <c r="H23" s="61"/>
      <c r="I23" s="62"/>
    </row>
    <row r="24" spans="2:14" x14ac:dyDescent="0.25">
      <c r="B24" s="27">
        <f t="shared" si="1"/>
        <v>43779</v>
      </c>
      <c r="C24" s="28" t="str">
        <f t="shared" si="0"/>
        <v>Sun</v>
      </c>
      <c r="D24" s="29"/>
      <c r="E24" s="30"/>
      <c r="F24" s="31"/>
      <c r="G24" s="60"/>
      <c r="H24" s="61"/>
      <c r="I24" s="62"/>
    </row>
    <row r="25" spans="2:14" x14ac:dyDescent="0.25">
      <c r="B25" s="32">
        <f t="shared" si="1"/>
        <v>43780</v>
      </c>
      <c r="C25" s="33" t="str">
        <f t="shared" si="0"/>
        <v>Mon</v>
      </c>
      <c r="D25" s="34">
        <v>1</v>
      </c>
      <c r="E25" s="35"/>
      <c r="F25" s="36"/>
      <c r="G25" s="41" t="s">
        <v>40</v>
      </c>
      <c r="H25" s="42"/>
      <c r="I25" s="43"/>
    </row>
    <row r="26" spans="2:14" x14ac:dyDescent="0.25">
      <c r="B26" s="32">
        <f t="shared" si="1"/>
        <v>43781</v>
      </c>
      <c r="C26" s="33" t="str">
        <f t="shared" si="0"/>
        <v>Tue</v>
      </c>
      <c r="D26" s="34">
        <v>1</v>
      </c>
      <c r="E26" s="35"/>
      <c r="F26" s="36"/>
      <c r="G26" s="41" t="s">
        <v>40</v>
      </c>
      <c r="H26" s="42"/>
      <c r="I26" s="43"/>
    </row>
    <row r="27" spans="2:14" x14ac:dyDescent="0.25">
      <c r="B27" s="32">
        <f t="shared" si="1"/>
        <v>43782</v>
      </c>
      <c r="C27" s="33" t="str">
        <f t="shared" si="0"/>
        <v>Wed</v>
      </c>
      <c r="D27" s="34">
        <v>1</v>
      </c>
      <c r="E27" s="35"/>
      <c r="F27" s="36"/>
      <c r="G27" s="41" t="s">
        <v>40</v>
      </c>
      <c r="H27" s="42"/>
      <c r="I27" s="43"/>
    </row>
    <row r="28" spans="2:14" x14ac:dyDescent="0.25">
      <c r="B28" s="32">
        <f t="shared" si="1"/>
        <v>43783</v>
      </c>
      <c r="C28" s="33" t="str">
        <f t="shared" si="0"/>
        <v>Thu</v>
      </c>
      <c r="D28" s="34">
        <v>1</v>
      </c>
      <c r="E28" s="35"/>
      <c r="F28" s="36"/>
      <c r="G28" s="41" t="s">
        <v>40</v>
      </c>
      <c r="H28" s="42"/>
      <c r="I28" s="43"/>
    </row>
    <row r="29" spans="2:14" x14ac:dyDescent="0.25">
      <c r="B29" s="32">
        <f t="shared" si="1"/>
        <v>43784</v>
      </c>
      <c r="C29" s="33" t="str">
        <f t="shared" si="0"/>
        <v>Fri</v>
      </c>
      <c r="D29" s="34">
        <v>1</v>
      </c>
      <c r="E29" s="35"/>
      <c r="F29" s="36"/>
      <c r="G29" s="41" t="s">
        <v>40</v>
      </c>
      <c r="H29" s="42"/>
      <c r="I29" s="43"/>
    </row>
    <row r="30" spans="2:14" x14ac:dyDescent="0.25">
      <c r="B30" s="27">
        <f t="shared" si="1"/>
        <v>43785</v>
      </c>
      <c r="C30" s="28" t="str">
        <f t="shared" si="0"/>
        <v>Sat</v>
      </c>
      <c r="D30" s="29"/>
      <c r="E30" s="30"/>
      <c r="F30" s="31"/>
      <c r="G30" s="60"/>
      <c r="H30" s="61"/>
      <c r="I30" s="62"/>
    </row>
    <row r="31" spans="2:14" x14ac:dyDescent="0.25">
      <c r="B31" s="27">
        <f t="shared" si="1"/>
        <v>43786</v>
      </c>
      <c r="C31" s="28" t="str">
        <f t="shared" si="0"/>
        <v>Sun</v>
      </c>
      <c r="D31" s="29"/>
      <c r="E31" s="30"/>
      <c r="F31" s="31"/>
      <c r="G31" s="60"/>
      <c r="H31" s="61"/>
      <c r="I31" s="62"/>
    </row>
    <row r="32" spans="2:14" x14ac:dyDescent="0.25">
      <c r="B32" s="32">
        <f t="shared" si="1"/>
        <v>43787</v>
      </c>
      <c r="C32" s="33" t="str">
        <f t="shared" si="0"/>
        <v>Mon</v>
      </c>
      <c r="D32" s="34">
        <v>1</v>
      </c>
      <c r="E32" s="35"/>
      <c r="F32" s="36"/>
      <c r="G32" s="41" t="s">
        <v>40</v>
      </c>
      <c r="H32" s="42"/>
      <c r="I32" s="43"/>
    </row>
    <row r="33" spans="2:9" x14ac:dyDescent="0.25">
      <c r="B33" s="32">
        <f t="shared" si="1"/>
        <v>43788</v>
      </c>
      <c r="C33" s="33" t="str">
        <f t="shared" si="0"/>
        <v>Tue</v>
      </c>
      <c r="D33" s="34">
        <v>1</v>
      </c>
      <c r="E33" s="35"/>
      <c r="F33" s="36"/>
      <c r="G33" s="41" t="s">
        <v>40</v>
      </c>
      <c r="H33" s="42"/>
      <c r="I33" s="43"/>
    </row>
    <row r="34" spans="2:9" x14ac:dyDescent="0.25">
      <c r="B34" s="32">
        <f t="shared" si="1"/>
        <v>43789</v>
      </c>
      <c r="C34" s="33" t="str">
        <f>TEXT(B34,"ddd")</f>
        <v>Wed</v>
      </c>
      <c r="D34" s="34">
        <v>1</v>
      </c>
      <c r="E34" s="35"/>
      <c r="F34" s="36"/>
      <c r="G34" s="41" t="s">
        <v>40</v>
      </c>
      <c r="H34" s="42"/>
      <c r="I34" s="43"/>
    </row>
    <row r="35" spans="2:9" x14ac:dyDescent="0.25">
      <c r="B35" s="32">
        <f t="shared" si="1"/>
        <v>43790</v>
      </c>
      <c r="C35" s="33" t="str">
        <f t="shared" si="0"/>
        <v>Thu</v>
      </c>
      <c r="D35" s="34">
        <v>1</v>
      </c>
      <c r="E35" s="35"/>
      <c r="F35" s="36"/>
      <c r="G35" s="41" t="s">
        <v>40</v>
      </c>
      <c r="H35" s="42"/>
      <c r="I35" s="43"/>
    </row>
    <row r="36" spans="2:9" x14ac:dyDescent="0.25">
      <c r="B36" s="32">
        <f t="shared" si="1"/>
        <v>43791</v>
      </c>
      <c r="C36" s="33" t="str">
        <f t="shared" si="0"/>
        <v>Fri</v>
      </c>
      <c r="D36" s="34">
        <v>1</v>
      </c>
      <c r="E36" s="35"/>
      <c r="F36" s="36"/>
      <c r="G36" s="41" t="s">
        <v>40</v>
      </c>
      <c r="H36" s="42"/>
      <c r="I36" s="43"/>
    </row>
    <row r="37" spans="2:9" x14ac:dyDescent="0.25">
      <c r="B37" s="27">
        <f t="shared" si="1"/>
        <v>43792</v>
      </c>
      <c r="C37" s="28" t="str">
        <f t="shared" si="0"/>
        <v>Sat</v>
      </c>
      <c r="D37" s="29"/>
      <c r="E37" s="30"/>
      <c r="F37" s="31"/>
      <c r="G37" s="60"/>
      <c r="H37" s="61"/>
      <c r="I37" s="62"/>
    </row>
    <row r="38" spans="2:9" x14ac:dyDescent="0.25">
      <c r="B38" s="27">
        <f t="shared" si="1"/>
        <v>43793</v>
      </c>
      <c r="C38" s="28" t="str">
        <f t="shared" si="0"/>
        <v>Sun</v>
      </c>
      <c r="D38" s="29"/>
      <c r="E38" s="30"/>
      <c r="F38" s="31"/>
      <c r="G38" s="60"/>
      <c r="H38" s="61"/>
      <c r="I38" s="62"/>
    </row>
    <row r="39" spans="2:9" x14ac:dyDescent="0.25">
      <c r="B39" s="32">
        <f t="shared" si="1"/>
        <v>43794</v>
      </c>
      <c r="C39" s="33" t="str">
        <f t="shared" si="0"/>
        <v>Mon</v>
      </c>
      <c r="D39" s="34">
        <v>1</v>
      </c>
      <c r="E39" s="35"/>
      <c r="F39" s="36"/>
      <c r="G39" s="41" t="s">
        <v>40</v>
      </c>
      <c r="H39" s="42"/>
      <c r="I39" s="43"/>
    </row>
    <row r="40" spans="2:9" x14ac:dyDescent="0.25">
      <c r="B40" s="32">
        <f t="shared" si="1"/>
        <v>43795</v>
      </c>
      <c r="C40" s="33" t="str">
        <f t="shared" si="0"/>
        <v>Tue</v>
      </c>
      <c r="D40" s="34">
        <v>1</v>
      </c>
      <c r="E40" s="35"/>
      <c r="F40" s="36"/>
      <c r="G40" s="41" t="s">
        <v>40</v>
      </c>
      <c r="H40" s="42"/>
      <c r="I40" s="43"/>
    </row>
    <row r="41" spans="2:9" x14ac:dyDescent="0.25">
      <c r="B41" s="32">
        <f t="shared" si="1"/>
        <v>43796</v>
      </c>
      <c r="C41" s="33" t="str">
        <f t="shared" si="0"/>
        <v>Wed</v>
      </c>
      <c r="D41" s="34">
        <v>1</v>
      </c>
      <c r="E41" s="35"/>
      <c r="F41" s="36"/>
      <c r="G41" s="41" t="s">
        <v>40</v>
      </c>
      <c r="H41" s="42"/>
      <c r="I41" s="43"/>
    </row>
    <row r="42" spans="2:9" x14ac:dyDescent="0.25">
      <c r="B42" s="32">
        <f t="shared" si="1"/>
        <v>43797</v>
      </c>
      <c r="C42" s="33" t="str">
        <f t="shared" si="0"/>
        <v>Thu</v>
      </c>
      <c r="D42" s="34">
        <v>1</v>
      </c>
      <c r="E42" s="35"/>
      <c r="F42" s="36"/>
      <c r="G42" s="41" t="s">
        <v>40</v>
      </c>
      <c r="H42" s="42"/>
      <c r="I42" s="43"/>
    </row>
    <row r="43" spans="2:9" x14ac:dyDescent="0.25">
      <c r="B43" s="32">
        <f t="shared" si="1"/>
        <v>43798</v>
      </c>
      <c r="C43" s="33" t="str">
        <f t="shared" si="0"/>
        <v>Fri</v>
      </c>
      <c r="D43" s="34">
        <v>1</v>
      </c>
      <c r="E43" s="35"/>
      <c r="F43" s="36"/>
      <c r="G43" s="41" t="s">
        <v>40</v>
      </c>
      <c r="H43" s="42"/>
      <c r="I43" s="43"/>
    </row>
    <row r="44" spans="2:9" x14ac:dyDescent="0.25">
      <c r="B44" s="27">
        <f t="shared" si="1"/>
        <v>43799</v>
      </c>
      <c r="C44" s="28" t="str">
        <f t="shared" si="0"/>
        <v>Sat</v>
      </c>
      <c r="D44" s="29"/>
      <c r="E44" s="30"/>
      <c r="F44" s="31"/>
      <c r="G44" s="60"/>
      <c r="H44" s="61"/>
      <c r="I44" s="62"/>
    </row>
    <row r="45" spans="2:9" ht="15.75" hidden="1" thickBot="1" x14ac:dyDescent="0.3">
      <c r="B45" s="73">
        <f t="shared" si="1"/>
        <v>43800</v>
      </c>
      <c r="C45" s="74" t="str">
        <f t="shared" si="0"/>
        <v>Sun</v>
      </c>
      <c r="D45" s="29"/>
      <c r="E45" s="75"/>
      <c r="F45" s="76"/>
      <c r="G45" s="60"/>
      <c r="H45" s="61"/>
      <c r="I45" s="62"/>
    </row>
    <row r="46" spans="2:9" ht="6" customHeight="1" x14ac:dyDescent="0.25">
      <c r="F46" s="10"/>
    </row>
    <row r="47" spans="2:9" ht="15.75" thickBot="1" x14ac:dyDescent="0.3">
      <c r="B47" t="s">
        <v>22</v>
      </c>
      <c r="D47" s="16">
        <f>SUM(D15:D45)</f>
        <v>21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59" t="s">
        <v>42</v>
      </c>
      <c r="H56" s="59"/>
      <c r="I56" s="59"/>
    </row>
    <row r="57" spans="2:9" ht="4.9000000000000004" customHeight="1" x14ac:dyDescent="0.25"/>
    <row r="58" spans="2:9" x14ac:dyDescent="0.25">
      <c r="B58" t="s">
        <v>10</v>
      </c>
      <c r="G58" s="59" t="s">
        <v>43</v>
      </c>
      <c r="H58" s="59"/>
      <c r="I58" s="59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44"/>
      <c r="C62" s="45"/>
      <c r="D62" s="45"/>
      <c r="E62" s="45"/>
      <c r="F62" s="46"/>
      <c r="H62" s="53"/>
      <c r="I62" s="54"/>
    </row>
    <row r="63" spans="2:9" x14ac:dyDescent="0.25">
      <c r="B63" s="47"/>
      <c r="C63" s="48"/>
      <c r="D63" s="48"/>
      <c r="E63" s="48"/>
      <c r="F63" s="49"/>
      <c r="H63" s="55"/>
      <c r="I63" s="56"/>
    </row>
    <row r="64" spans="2:9" ht="15.75" thickBot="1" x14ac:dyDescent="0.3">
      <c r="B64" s="50"/>
      <c r="C64" s="51"/>
      <c r="D64" s="51"/>
      <c r="E64" s="51"/>
      <c r="F64" s="52"/>
      <c r="H64" s="57"/>
      <c r="I64" s="58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37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G19:I19"/>
    <mergeCell ref="G20:I20"/>
    <mergeCell ref="G21:I21"/>
    <mergeCell ref="G26:I26"/>
    <mergeCell ref="G22:I22"/>
    <mergeCell ref="G23:I23"/>
    <mergeCell ref="G25:I25"/>
    <mergeCell ref="G24:I24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34:I34"/>
    <mergeCell ref="G37:I37"/>
    <mergeCell ref="G44:I44"/>
    <mergeCell ref="G43:I43"/>
    <mergeCell ref="G28:I28"/>
    <mergeCell ref="G29:I29"/>
    <mergeCell ref="G35:I35"/>
    <mergeCell ref="G36:I36"/>
    <mergeCell ref="G42:I42"/>
    <mergeCell ref="G38:I38"/>
    <mergeCell ref="G39:I39"/>
    <mergeCell ref="G40:I40"/>
    <mergeCell ref="G41:I41"/>
    <mergeCell ref="G27:I27"/>
    <mergeCell ref="G30:I30"/>
    <mergeCell ref="G31:I31"/>
    <mergeCell ref="G32:I32"/>
    <mergeCell ref="G33:I33"/>
    <mergeCell ref="G45:I45"/>
    <mergeCell ref="B62:F64"/>
    <mergeCell ref="H62:I64"/>
    <mergeCell ref="G56:I56"/>
    <mergeCell ref="G58:I58"/>
  </mergeCells>
  <dataValidations count="2">
    <dataValidation type="list" allowBlank="1" showInputMessage="1" showErrorMessage="1" sqref="I10" xr:uid="{00000000-0002-0000-0000-000000000000}">
      <formula1>$N$5:$N$16</formula1>
    </dataValidation>
    <dataValidation type="list" allowBlank="1" showInputMessage="1" showErrorMessage="1" sqref="I11" xr:uid="{00000000-0002-0000-0000-000001000000}">
      <formula1>$P$5:$P$16</formula1>
    </dataValidation>
  </dataValidations>
  <hyperlinks>
    <hyperlink ref="B68" r:id="rId1" xr:uid="{00000000-0004-0000-0000-000000000000}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2019-11-12T14:49:00Z</dcterms:modified>
</cp:coreProperties>
</file>